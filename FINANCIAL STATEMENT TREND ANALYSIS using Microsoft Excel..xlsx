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ley\Documents\"/>
    </mc:Choice>
  </mc:AlternateContent>
  <xr:revisionPtr revIDLastSave="0" documentId="8_{6AF4BE95-C688-4FF8-8736-9F7F54EDD1FB}" xr6:coauthVersionLast="47" xr6:coauthVersionMax="47" xr10:uidLastSave="{00000000-0000-0000-0000-000000000000}"/>
  <bookViews>
    <workbookView xWindow="-108" yWindow="-108" windowWidth="23256" windowHeight="12456" xr2:uid="{7332EC7D-B28C-4A35-B67C-C991CAC4319A}"/>
  </bookViews>
  <sheets>
    <sheet name="Income Statement Analysis " sheetId="1" r:id="rId1"/>
    <sheet name="Balance sheet Analysis" sheetId="2" r:id="rId2"/>
    <sheet name="Cash flow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3" l="1"/>
  <c r="H7" i="3"/>
  <c r="H8" i="3"/>
  <c r="H9" i="3"/>
  <c r="H10" i="2"/>
  <c r="H9" i="2"/>
  <c r="H8" i="2"/>
  <c r="K19" i="2"/>
  <c r="K18" i="2"/>
  <c r="G14" i="2"/>
  <c r="G12" i="2"/>
  <c r="G13" i="2"/>
  <c r="I9" i="2"/>
  <c r="I8" i="2"/>
  <c r="I10" i="2"/>
  <c r="G15" i="2" s="1"/>
  <c r="H16" i="1"/>
  <c r="H14" i="1"/>
  <c r="H12" i="1"/>
  <c r="J12" i="1" s="1"/>
  <c r="H11" i="1"/>
  <c r="J11" i="1" s="1"/>
  <c r="H10" i="1"/>
  <c r="G11" i="3" l="1"/>
  <c r="G13" i="3"/>
  <c r="H15" i="1"/>
  <c r="J10" i="1"/>
  <c r="H17" i="1" s="1"/>
</calcChain>
</file>

<file path=xl/sharedStrings.xml><?xml version="1.0" encoding="utf-8"?>
<sst xmlns="http://schemas.openxmlformats.org/spreadsheetml/2006/main" count="51" uniqueCount="47">
  <si>
    <t xml:space="preserve">Year </t>
  </si>
  <si>
    <t xml:space="preserve">Revenue </t>
  </si>
  <si>
    <t xml:space="preserve">Net Income </t>
  </si>
  <si>
    <t xml:space="preserve">Shares </t>
  </si>
  <si>
    <t>EPS</t>
  </si>
  <si>
    <t xml:space="preserve">Revenue is the total money a company earns. </t>
  </si>
  <si>
    <t xml:space="preserve">Total cost is the amount of money a company uses as expenses. </t>
  </si>
  <si>
    <t>Net income is the money left when: Revenue- Total cost (expenses)</t>
  </si>
  <si>
    <t xml:space="preserve">EPS IS earnings per share, basically how much profit a company earns for each share. </t>
  </si>
  <si>
    <t xml:space="preserve">TOTAL REVENUE= </t>
  </si>
  <si>
    <t xml:space="preserve">AVERAGE NET INCOME= </t>
  </si>
  <si>
    <t>YEARS ANALYSED=</t>
  </si>
  <si>
    <t xml:space="preserve">INSIGHTS: </t>
  </si>
  <si>
    <t xml:space="preserve">1. Revenue increased from 202500 in 2005 to 401000 in 2006, which shows stable growth and proves the improvement in sales. </t>
  </si>
  <si>
    <t xml:space="preserve">Higher the net income, higher the profitability. </t>
  </si>
  <si>
    <t xml:space="preserve">2. Net income increased from 7500 in 2005 to 16000 in 2006, which shows increase in profitability of the company. </t>
  </si>
  <si>
    <t xml:space="preserve">3. The EPS increased from 0.75 in 2005 to 10 in 2010, signalling increase in earnings per share. </t>
  </si>
  <si>
    <t>HIGHEST EPS OBSERVED=</t>
  </si>
  <si>
    <t>Year</t>
  </si>
  <si>
    <t>Assets</t>
  </si>
  <si>
    <t xml:space="preserve">Liabilities </t>
  </si>
  <si>
    <t>Equity</t>
  </si>
  <si>
    <t xml:space="preserve">Debt Ratio </t>
  </si>
  <si>
    <t xml:space="preserve">Equity=  Assets- Liabilities </t>
  </si>
  <si>
    <t>Basically equity is the amount of money a company owns after paying its debts.</t>
  </si>
  <si>
    <t>Debt ratio is a financial measure that tells how much of a company's assets are financed using borrowed money</t>
  </si>
  <si>
    <t>TOTAL ASSETS=</t>
  </si>
  <si>
    <t>AVERAGE LIABILITIES=</t>
  </si>
  <si>
    <t xml:space="preserve">LOWEST DEBT RATIO= </t>
  </si>
  <si>
    <t>INSIGHTS:</t>
  </si>
  <si>
    <t>Total no. of assets increased from 2005 to 2010, by the value of=</t>
  </si>
  <si>
    <t>In between 2005 and 2006, Liabilities increased by=</t>
  </si>
  <si>
    <t xml:space="preserve">However, Assets also increased, signalling good independence and stability in company's finances. </t>
  </si>
  <si>
    <t>EPS = NET INCOME/ SHARES</t>
  </si>
  <si>
    <t>Expenses</t>
  </si>
  <si>
    <t>Net Income</t>
  </si>
  <si>
    <t>Depreciation</t>
  </si>
  <si>
    <t xml:space="preserve">Cash flow from operations </t>
  </si>
  <si>
    <t xml:space="preserve">Depreciation is the value of a long-term asset over time due to use, wear and tear, or becoming outdated. </t>
  </si>
  <si>
    <t xml:space="preserve">Depreciation= Cost of an item- its value after a certain period of time. </t>
  </si>
  <si>
    <t>Cash flow= Net income+ Depreciation (Depreciation is added back coz it’s a non-cash expense)</t>
  </si>
  <si>
    <t>TOTAL CASH FLOW=</t>
  </si>
  <si>
    <t>AVERAGE NET INCOME=</t>
  </si>
  <si>
    <t>HIGHEST CASH FLOW OBSERVED=</t>
  </si>
  <si>
    <t xml:space="preserve">1. THE CASH FLOW INCREASED FROM 17,500 IN 2005 TO 2,52,000 IN 2010, INDICATING STRONG IMPROVEMENT IN THEIR CASH GENERATION. </t>
  </si>
  <si>
    <t xml:space="preserve">2. NET INCOME GROWTH SUPPORTED THE CASH FLOW FROM OPERATIONS THROUGHOUT THE YEARS. </t>
  </si>
  <si>
    <t xml:space="preserve">Overall, cash flow analysis suggest strong improvement in operational liquidity and financial stability over time.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</si>
</sst>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1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1"/>
      <name val="Bahnschrift Light Condensed"/>
      <family val="2"/>
    </font>
    <font>
      <sz val="11"/>
      <color theme="1"/>
      <name val="Bahnschrift Light Semi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71" fontId="0" fillId="0" borderId="0" xfId="1" applyNumberFormat="1" applyFont="1"/>
    <xf numFmtId="0" fontId="0" fillId="3" borderId="1" xfId="0" applyFill="1" applyBorder="1"/>
    <xf numFmtId="171" fontId="0" fillId="3" borderId="1" xfId="1" applyNumberFormat="1" applyFont="1" applyFill="1" applyBorder="1"/>
    <xf numFmtId="0" fontId="0" fillId="0" borderId="0" xfId="0" applyAlignment="1"/>
    <xf numFmtId="0" fontId="2" fillId="3" borderId="1" xfId="0" applyFont="1" applyFill="1" applyBorder="1"/>
    <xf numFmtId="171" fontId="2" fillId="3" borderId="1" xfId="1" applyNumberFormat="1" applyFont="1" applyFill="1" applyBorder="1"/>
    <xf numFmtId="9" fontId="0" fillId="0" borderId="0" xfId="2" applyFont="1"/>
    <xf numFmtId="9" fontId="0" fillId="3" borderId="1" xfId="2" applyFont="1" applyFill="1" applyBorder="1"/>
    <xf numFmtId="0" fontId="4" fillId="2" borderId="0" xfId="0" applyFont="1" applyFill="1" applyBorder="1"/>
    <xf numFmtId="0" fontId="4" fillId="2" borderId="0" xfId="0" applyFont="1" applyFill="1"/>
    <xf numFmtId="0" fontId="5" fillId="2" borderId="0" xfId="0" applyFont="1" applyFill="1"/>
    <xf numFmtId="0" fontId="3" fillId="4" borderId="0" xfId="0" applyFont="1" applyFill="1"/>
    <xf numFmtId="0" fontId="0" fillId="4" borderId="0" xfId="0" applyFill="1"/>
    <xf numFmtId="0" fontId="3" fillId="4" borderId="0" xfId="0" applyFont="1" applyFill="1" applyAlignment="1"/>
    <xf numFmtId="0" fontId="0" fillId="5" borderId="1" xfId="0" applyFill="1" applyBorder="1"/>
    <xf numFmtId="171" fontId="0" fillId="5" borderId="1" xfId="1" applyNumberFormat="1" applyFont="1" applyFill="1" applyBorder="1"/>
    <xf numFmtId="0" fontId="0" fillId="5" borderId="1" xfId="0" applyFill="1" applyBorder="1" applyAlignment="1">
      <alignment wrapText="1"/>
    </xf>
    <xf numFmtId="171" fontId="0" fillId="5" borderId="1" xfId="0" applyNumberFormat="1" applyFill="1" applyBorder="1"/>
    <xf numFmtId="0" fontId="0" fillId="5" borderId="1" xfId="0" applyFill="1" applyBorder="1" applyAlignment="1"/>
    <xf numFmtId="0" fontId="2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13">
    <dxf>
      <numFmt numFmtId="171" formatCode="_ * #,##0_ ;_ * \-#,##0_ ;_ * &quot;-&quot;??_ ;_ @_ "/>
    </dxf>
    <dxf>
      <numFmt numFmtId="0" formatCode="General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 Analysis '!$E$10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Statement Analysis '!$F$9:$J$9</c:f>
              <c:strCache>
                <c:ptCount val="5"/>
                <c:pt idx="0">
                  <c:v>Revenue </c:v>
                </c:pt>
                <c:pt idx="1">
                  <c:v>Expenses</c:v>
                </c:pt>
                <c:pt idx="2">
                  <c:v>Net Income </c:v>
                </c:pt>
                <c:pt idx="3">
                  <c:v>Shares </c:v>
                </c:pt>
                <c:pt idx="4">
                  <c:v>EPS</c:v>
                </c:pt>
              </c:strCache>
            </c:strRef>
          </c:cat>
          <c:val>
            <c:numRef>
              <c:f>'Income Statement Analysis '!$F$10:$J$10</c:f>
              <c:numCache>
                <c:formatCode>_ * #,##0_ ;_ * \-#,##0_ ;_ * "-"??_ ;_ @_ </c:formatCode>
                <c:ptCount val="5"/>
                <c:pt idx="0">
                  <c:v>202500</c:v>
                </c:pt>
                <c:pt idx="1">
                  <c:v>195000</c:v>
                </c:pt>
                <c:pt idx="2">
                  <c:v>7500</c:v>
                </c:pt>
                <c:pt idx="3">
                  <c:v>10000</c:v>
                </c:pt>
                <c:pt idx="4" formatCode="General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C3E-AF6D-EAAEF3492A93}"/>
            </c:ext>
          </c:extLst>
        </c:ser>
        <c:ser>
          <c:idx val="1"/>
          <c:order val="1"/>
          <c:tx>
            <c:strRef>
              <c:f>'Income Statement Analysis '!$E$11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'Income Statement Analysis '!$F$9:$J$9</c:f>
              <c:strCache>
                <c:ptCount val="5"/>
                <c:pt idx="0">
                  <c:v>Revenue </c:v>
                </c:pt>
                <c:pt idx="1">
                  <c:v>Expenses</c:v>
                </c:pt>
                <c:pt idx="2">
                  <c:v>Net Income </c:v>
                </c:pt>
                <c:pt idx="3">
                  <c:v>Shares </c:v>
                </c:pt>
                <c:pt idx="4">
                  <c:v>EPS</c:v>
                </c:pt>
              </c:strCache>
            </c:strRef>
          </c:cat>
          <c:val>
            <c:numRef>
              <c:f>'Income Statement Analysis '!$F$11:$J$11</c:f>
              <c:numCache>
                <c:formatCode>_ * #,##0_ ;_ * \-#,##0_ ;_ * "-"??_ ;_ @_ </c:formatCode>
                <c:ptCount val="5"/>
                <c:pt idx="0">
                  <c:v>401000</c:v>
                </c:pt>
                <c:pt idx="1">
                  <c:v>385000</c:v>
                </c:pt>
                <c:pt idx="2">
                  <c:v>16000</c:v>
                </c:pt>
                <c:pt idx="3">
                  <c:v>10000</c:v>
                </c:pt>
                <c:pt idx="4" formatCode="General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4-4C3E-AF6D-EAAEF3492A93}"/>
            </c:ext>
          </c:extLst>
        </c:ser>
        <c:ser>
          <c:idx val="2"/>
          <c:order val="2"/>
          <c:tx>
            <c:strRef>
              <c:f>'Income Statement Analysis '!$E$12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'Income Statement Analysis '!$F$9:$J$9</c:f>
              <c:strCache>
                <c:ptCount val="5"/>
                <c:pt idx="0">
                  <c:v>Revenue </c:v>
                </c:pt>
                <c:pt idx="1">
                  <c:v>Expenses</c:v>
                </c:pt>
                <c:pt idx="2">
                  <c:v>Net Income </c:v>
                </c:pt>
                <c:pt idx="3">
                  <c:v>Shares </c:v>
                </c:pt>
                <c:pt idx="4">
                  <c:v>EPS</c:v>
                </c:pt>
              </c:strCache>
            </c:strRef>
          </c:cat>
          <c:val>
            <c:numRef>
              <c:f>'Income Statement Analysis '!$F$12:$J$12</c:f>
              <c:numCache>
                <c:formatCode>_ * #,##0_ ;_ * \-#,##0_ ;_ * "-"??_ ;_ @_ </c:formatCode>
                <c:ptCount val="5"/>
                <c:pt idx="0">
                  <c:v>1910000</c:v>
                </c:pt>
                <c:pt idx="1">
                  <c:v>1760000</c:v>
                </c:pt>
                <c:pt idx="2">
                  <c:v>150000</c:v>
                </c:pt>
                <c:pt idx="3">
                  <c:v>15000</c:v>
                </c:pt>
                <c:pt idx="4" formatCode="General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24-4C3E-AF6D-EAAEF3492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79247"/>
        <c:axId val="111667247"/>
      </c:barChart>
      <c:catAx>
        <c:axId val="11167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7247"/>
        <c:crosses val="autoZero"/>
        <c:auto val="1"/>
        <c:lblAlgn val="ctr"/>
        <c:lblOffset val="100"/>
        <c:noMultiLvlLbl val="0"/>
      </c:catAx>
      <c:valAx>
        <c:axId val="11166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 Analysis'!$F$7</c:f>
              <c:strCache>
                <c:ptCount val="1"/>
                <c:pt idx="0">
                  <c:v>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'Balance sheet Analysis'!$E$8:$E$10</c:f>
              <c:numCache>
                <c:formatCode>General</c:formatCode>
                <c:ptCount val="3"/>
                <c:pt idx="0">
                  <c:v>2005</c:v>
                </c:pt>
                <c:pt idx="1">
                  <c:v>2006</c:v>
                </c:pt>
                <c:pt idx="2">
                  <c:v>2010</c:v>
                </c:pt>
              </c:numCache>
            </c:numRef>
          </c:cat>
          <c:val>
            <c:numRef>
              <c:f>'Balance sheet Analysis'!$F$8:$F$10</c:f>
              <c:numCache>
                <c:formatCode>_ * #,##0_ ;_ * \-#,##0_ ;_ * "-"??_ ;_ @_ </c:formatCode>
                <c:ptCount val="3"/>
                <c:pt idx="0">
                  <c:v>114500</c:v>
                </c:pt>
                <c:pt idx="1">
                  <c:v>255500</c:v>
                </c:pt>
                <c:pt idx="2">
                  <c:v>994500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8-41BB-B221-73C43635D931}"/>
            </c:ext>
          </c:extLst>
        </c:ser>
        <c:ser>
          <c:idx val="1"/>
          <c:order val="1"/>
          <c:tx>
            <c:strRef>
              <c:f>'Balance sheet Analysis'!$G$7</c:f>
              <c:strCache>
                <c:ptCount val="1"/>
                <c:pt idx="0">
                  <c:v>Liabilities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'Balance sheet Analysis'!$E$8:$E$10</c:f>
              <c:numCache>
                <c:formatCode>General</c:formatCode>
                <c:ptCount val="3"/>
                <c:pt idx="0">
                  <c:v>2005</c:v>
                </c:pt>
                <c:pt idx="1">
                  <c:v>2006</c:v>
                </c:pt>
                <c:pt idx="2">
                  <c:v>2010</c:v>
                </c:pt>
              </c:numCache>
            </c:numRef>
          </c:cat>
          <c:val>
            <c:numRef>
              <c:f>'Balance sheet Analysis'!$G$8:$G$10</c:f>
              <c:numCache>
                <c:formatCode>_ * #,##0_ ;_ * \-#,##0_ ;_ * "-"??_ ;_ @_ </c:formatCode>
                <c:ptCount val="3"/>
                <c:pt idx="0">
                  <c:v>10000</c:v>
                </c:pt>
                <c:pt idx="1">
                  <c:v>141000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8-41BB-B221-73C43635D931}"/>
            </c:ext>
          </c:extLst>
        </c:ser>
        <c:ser>
          <c:idx val="2"/>
          <c:order val="2"/>
          <c:tx>
            <c:strRef>
              <c:f>'Balance sheet Analysis'!$H$7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'Balance sheet Analysis'!$E$8:$E$10</c:f>
              <c:numCache>
                <c:formatCode>General</c:formatCode>
                <c:ptCount val="3"/>
                <c:pt idx="0">
                  <c:v>2005</c:v>
                </c:pt>
                <c:pt idx="1">
                  <c:v>2006</c:v>
                </c:pt>
                <c:pt idx="2">
                  <c:v>2010</c:v>
                </c:pt>
              </c:numCache>
            </c:numRef>
          </c:cat>
          <c:val>
            <c:numRef>
              <c:f>'Balance sheet Analysis'!$H$8:$H$10</c:f>
              <c:numCache>
                <c:formatCode>_ * #,##0_ ;_ * \-#,##0_ ;_ * "-"??_ ;_ @_ </c:formatCode>
                <c:ptCount val="3"/>
                <c:pt idx="0">
                  <c:v>104500</c:v>
                </c:pt>
                <c:pt idx="1">
                  <c:v>114500</c:v>
                </c:pt>
                <c:pt idx="2">
                  <c:v>894500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C8-41BB-B221-73C43635D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39887"/>
        <c:axId val="111648047"/>
      </c:barChart>
      <c:lineChart>
        <c:grouping val="standard"/>
        <c:varyColors val="0"/>
        <c:ser>
          <c:idx val="3"/>
          <c:order val="3"/>
          <c:tx>
            <c:strRef>
              <c:f>'Balance sheet Analysis'!$I$7</c:f>
              <c:strCache>
                <c:ptCount val="1"/>
                <c:pt idx="0">
                  <c:v>Debt Ratio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'Balance sheet Analysis'!$E$8:$E$10</c:f>
              <c:numCache>
                <c:formatCode>General</c:formatCode>
                <c:ptCount val="3"/>
                <c:pt idx="0">
                  <c:v>2005</c:v>
                </c:pt>
                <c:pt idx="1">
                  <c:v>2006</c:v>
                </c:pt>
                <c:pt idx="2">
                  <c:v>2010</c:v>
                </c:pt>
              </c:numCache>
            </c:numRef>
          </c:cat>
          <c:val>
            <c:numRef>
              <c:f>'Balance sheet Analysis'!$I$8:$I$10</c:f>
              <c:numCache>
                <c:formatCode>0%</c:formatCode>
                <c:ptCount val="3"/>
                <c:pt idx="0">
                  <c:v>8.7336244541484712E-2</c:v>
                </c:pt>
                <c:pt idx="1">
                  <c:v>0.55185909980430525</c:v>
                </c:pt>
                <c:pt idx="2">
                  <c:v>0.10055304172951232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C8-41BB-B221-73C43635D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55247"/>
        <c:axId val="111643247"/>
      </c:lineChart>
      <c:catAx>
        <c:axId val="11163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8047"/>
        <c:crosses val="autoZero"/>
        <c:auto val="1"/>
        <c:lblAlgn val="ctr"/>
        <c:lblOffset val="100"/>
        <c:noMultiLvlLbl val="0"/>
      </c:catAx>
      <c:valAx>
        <c:axId val="11164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39887"/>
        <c:crosses val="autoZero"/>
        <c:crossBetween val="between"/>
      </c:valAx>
      <c:valAx>
        <c:axId val="111643247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5247"/>
        <c:crosses val="max"/>
        <c:crossBetween val="between"/>
      </c:valAx>
      <c:catAx>
        <c:axId val="1116552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6432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 analysis'!$F$6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'Cash flow analysis'!$E$7:$E$9</c:f>
              <c:numCache>
                <c:formatCode>General</c:formatCode>
                <c:ptCount val="3"/>
                <c:pt idx="0">
                  <c:v>2005</c:v>
                </c:pt>
                <c:pt idx="1">
                  <c:v>2006</c:v>
                </c:pt>
                <c:pt idx="2">
                  <c:v>2010</c:v>
                </c:pt>
              </c:numCache>
            </c:numRef>
          </c:cat>
          <c:val>
            <c:numRef>
              <c:f>'Cash flow analysis'!$F$7:$F$9</c:f>
              <c:numCache>
                <c:formatCode>_ * #,##0_ ;_ * \-#,##0_ ;_ * "-"??_ ;_ @_ </c:formatCode>
                <c:ptCount val="3"/>
                <c:pt idx="0">
                  <c:v>7500</c:v>
                </c:pt>
                <c:pt idx="1">
                  <c:v>16000</c:v>
                </c:pt>
                <c:pt idx="2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7-45B6-B30B-821D6839DF53}"/>
            </c:ext>
          </c:extLst>
        </c:ser>
        <c:ser>
          <c:idx val="1"/>
          <c:order val="1"/>
          <c:tx>
            <c:strRef>
              <c:f>'Cash flow analysis'!$G$6</c:f>
              <c:strCache>
                <c:ptCount val="1"/>
                <c:pt idx="0">
                  <c:v>Depreciation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'Cash flow analysis'!$E$7:$E$9</c:f>
              <c:numCache>
                <c:formatCode>General</c:formatCode>
                <c:ptCount val="3"/>
                <c:pt idx="0">
                  <c:v>2005</c:v>
                </c:pt>
                <c:pt idx="1">
                  <c:v>2006</c:v>
                </c:pt>
                <c:pt idx="2">
                  <c:v>2010</c:v>
                </c:pt>
              </c:numCache>
            </c:numRef>
          </c:cat>
          <c:val>
            <c:numRef>
              <c:f>'Cash flow analysis'!$G$7:$G$9</c:f>
              <c:numCache>
                <c:formatCode>_ * #,##0_ ;_ * \-#,##0_ ;_ * "-"??_ ;_ @_ </c:formatCode>
                <c:ptCount val="3"/>
                <c:pt idx="0">
                  <c:v>10000</c:v>
                </c:pt>
                <c:pt idx="1">
                  <c:v>24000</c:v>
                </c:pt>
                <c:pt idx="2">
                  <c:v>102000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7-45B6-B30B-821D6839DF53}"/>
            </c:ext>
          </c:extLst>
        </c:ser>
        <c:ser>
          <c:idx val="2"/>
          <c:order val="2"/>
          <c:tx>
            <c:strRef>
              <c:f>'Cash flow analysis'!$H$6</c:f>
              <c:strCache>
                <c:ptCount val="1"/>
                <c:pt idx="0">
                  <c:v>Cash flow from operations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'Cash flow analysis'!$E$7:$E$9</c:f>
              <c:numCache>
                <c:formatCode>General</c:formatCode>
                <c:ptCount val="3"/>
                <c:pt idx="0">
                  <c:v>2005</c:v>
                </c:pt>
                <c:pt idx="1">
                  <c:v>2006</c:v>
                </c:pt>
                <c:pt idx="2">
                  <c:v>2010</c:v>
                </c:pt>
              </c:numCache>
            </c:numRef>
          </c:cat>
          <c:val>
            <c:numRef>
              <c:f>'Cash flow analysis'!$H$7:$H$9</c:f>
              <c:numCache>
                <c:formatCode>_ * #,##0_ ;_ * \-#,##0_ ;_ * "-"??_ ;_ @_ </c:formatCode>
                <c:ptCount val="3"/>
                <c:pt idx="0">
                  <c:v>17500</c:v>
                </c:pt>
                <c:pt idx="1">
                  <c:v>40000</c:v>
                </c:pt>
                <c:pt idx="2">
                  <c:v>252000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7-45B6-B30B-821D6839D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42767"/>
        <c:axId val="111656687"/>
      </c:barChart>
      <c:catAx>
        <c:axId val="11164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6687"/>
        <c:crosses val="autoZero"/>
        <c:auto val="1"/>
        <c:lblAlgn val="ctr"/>
        <c:lblOffset val="100"/>
        <c:noMultiLvlLbl val="0"/>
      </c:catAx>
      <c:valAx>
        <c:axId val="11165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601980</xdr:colOff>
      <xdr:row>2</xdr:row>
      <xdr:rowOff>171450</xdr:rowOff>
    </xdr:from>
    <xdr:to>
      <xdr:col>20</xdr:col>
      <xdr:colOff>297180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0557C3-077C-0FBF-6D8B-D1D6EEA5B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3810</xdr:rowOff>
    </xdr:from>
    <xdr:to>
      <xdr:col>21</xdr:col>
      <xdr:colOff>304800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C7CF6-C3B7-8C76-D9CB-B8545B017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175260</xdr:rowOff>
    </xdr:from>
    <xdr:to>
      <xdr:col>17</xdr:col>
      <xdr:colOff>83820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E25300-76BA-F155-A4F9-C60C4A370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14A15-CF2E-42D0-8147-2C692094EDAB}" name="Table1" displayName="Table1" ref="E9:J12" totalsRowShown="0" headerRowDxfId="12">
  <autoFilter ref="E9:J12" xr:uid="{52A14A15-CF2E-42D0-8147-2C692094EDAB}"/>
  <sortState xmlns:xlrd2="http://schemas.microsoft.com/office/spreadsheetml/2017/richdata2" ref="E10:J12">
    <sortCondition ref="E9:E12"/>
  </sortState>
  <tableColumns count="6">
    <tableColumn id="1" xr3:uid="{9416AD0D-EEC3-4D63-BD84-5A31CE62C38E}" name="Year "/>
    <tableColumn id="2" xr3:uid="{91456465-AE52-42D9-AD84-3C91B3058029}" name="Revenue " dataDxfId="4" dataCellStyle="Comma"/>
    <tableColumn id="3" xr3:uid="{F79079D2-9003-4F5E-BA12-C9A84DA29E78}" name="Expenses" dataDxfId="3" dataCellStyle="Comma"/>
    <tableColumn id="4" xr3:uid="{28CAE7B7-DEAD-4864-B866-26E261315AB7}" name="Net Income " dataDxfId="2" dataCellStyle="Comma">
      <calculatedColumnFormula>F10-G10</calculatedColumnFormula>
    </tableColumn>
    <tableColumn id="5" xr3:uid="{29AC989E-130A-4917-830B-B45266795CCE}" name="Shares " dataDxfId="0" dataCellStyle="Comma"/>
    <tableColumn id="6" xr3:uid="{4FD173CC-388D-4D11-887A-D78957B57EB4}" name="EPS" dataDxfId="1">
      <calculatedColumnFormula>H10/I10</calculatedColumnFormula>
    </tableColumn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E30A3B-56D0-4CAF-AA8A-DD78ECF2565C}" name="Table2" displayName="Table2" ref="E7:I10" totalsRowShown="0">
  <autoFilter ref="E7:I10" xr:uid="{ACE30A3B-56D0-4CAF-AA8A-DD78ECF2565C}"/>
  <sortState xmlns:xlrd2="http://schemas.microsoft.com/office/spreadsheetml/2017/richdata2" ref="E8:I10">
    <sortCondition ref="E7:E10"/>
  </sortState>
  <tableColumns count="5">
    <tableColumn id="1" xr3:uid="{F045023B-633E-4A92-9D0A-424938002AF2}" name="Year"/>
    <tableColumn id="2" xr3:uid="{E8EF5CCB-B2AA-4DEC-B6EF-6D5BF7C4CB3F}" name="Assets" dataDxfId="8" dataCellStyle="Comma"/>
    <tableColumn id="3" xr3:uid="{520B4F77-07A1-446E-8465-6FDBD7360DC7}" name="Liabilities " dataDxfId="7" dataCellStyle="Comma"/>
    <tableColumn id="4" xr3:uid="{71DE090B-024D-47C9-B3F7-A20E1F71E38F}" name="Equity" dataDxfId="5" dataCellStyle="Comma">
      <calculatedColumnFormula>Table2[[#This Row],[Assets]]-Table2[[#This Row],[Liabilities ]]</calculatedColumnFormula>
    </tableColumn>
    <tableColumn id="5" xr3:uid="{A3278741-1377-4B07-8088-0F18A012299C}" name="Debt Ratio " dataDxfId="6" dataCellStyle="Percent">
      <calculatedColumnFormula>G8/F8</calculatedColumnFormula>
    </tableColumn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6352FC-3DC5-4E3E-B51D-924EC3316092}" name="Table5" displayName="Table5" ref="E6:H9" totalsRowShown="0">
  <autoFilter ref="E6:H9" xr:uid="{1C6352FC-3DC5-4E3E-B51D-924EC3316092}"/>
  <sortState xmlns:xlrd2="http://schemas.microsoft.com/office/spreadsheetml/2017/richdata2" ref="E7:H9">
    <sortCondition ref="E6:E9"/>
  </sortState>
  <tableColumns count="4">
    <tableColumn id="1" xr3:uid="{5E546DDF-A222-43A1-9DC4-84E7408FDB09}" name="Year"/>
    <tableColumn id="2" xr3:uid="{A1615FC1-9354-4C39-95F0-0AD894BDA827}" name="Net Income" dataDxfId="11" dataCellStyle="Comma"/>
    <tableColumn id="3" xr3:uid="{F82E137C-F268-46A7-B593-E8BBDEF3F31C}" name="Depreciation" dataDxfId="10" dataCellStyle="Comma"/>
    <tableColumn id="4" xr3:uid="{239AF817-DD2A-46A9-83C5-DE694B096606}" name="Cash flow from operations " dataDxfId="9" dataCellStyle="Comma">
      <calculatedColumnFormula>Table5[[#This Row],[Net Income]]+Table5[[#This Row],[Depreciation]]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A6FD-6F84-4396-95FD-F0E60F179641}">
  <dimension ref="B2:O22"/>
  <sheetViews>
    <sheetView tabSelected="1" workbookViewId="0">
      <selection activeCell="T22" sqref="T22"/>
    </sheetView>
  </sheetViews>
  <sheetFormatPr defaultRowHeight="14.4" x14ac:dyDescent="0.3"/>
  <cols>
    <col min="5" max="5" width="7" customWidth="1"/>
    <col min="6" max="6" width="10.33203125" customWidth="1"/>
    <col min="7" max="7" width="11.21875" customWidth="1"/>
    <col min="8" max="8" width="12.88671875" customWidth="1"/>
    <col min="9" max="9" width="9.88671875" bestFit="1" customWidth="1"/>
  </cols>
  <sheetData>
    <row r="2" spans="2:11" x14ac:dyDescent="0.3">
      <c r="B2" s="12" t="s">
        <v>5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x14ac:dyDescent="0.3">
      <c r="B3" s="12" t="s">
        <v>6</v>
      </c>
      <c r="C3" s="12"/>
      <c r="D3" s="12"/>
      <c r="E3" s="12"/>
      <c r="F3" s="12"/>
      <c r="G3" s="12"/>
      <c r="H3" s="12"/>
      <c r="I3" s="12"/>
      <c r="J3" s="12"/>
      <c r="K3" s="12"/>
    </row>
    <row r="4" spans="2:11" x14ac:dyDescent="0.3">
      <c r="B4" s="12" t="s">
        <v>7</v>
      </c>
      <c r="C4" s="12"/>
      <c r="D4" s="12"/>
      <c r="E4" s="12"/>
      <c r="F4" s="12"/>
      <c r="G4" s="12"/>
      <c r="H4" s="12" t="s">
        <v>14</v>
      </c>
      <c r="I4" s="12"/>
      <c r="J4" s="12"/>
      <c r="K4" s="12"/>
    </row>
    <row r="5" spans="2:11" x14ac:dyDescent="0.3">
      <c r="B5" s="12" t="s">
        <v>8</v>
      </c>
      <c r="C5" s="12"/>
      <c r="D5" s="12"/>
      <c r="E5" s="12"/>
      <c r="F5" s="12"/>
      <c r="G5" s="12"/>
      <c r="H5" s="12"/>
      <c r="I5" s="12"/>
      <c r="J5" s="12"/>
      <c r="K5" s="12"/>
    </row>
    <row r="6" spans="2:11" x14ac:dyDescent="0.3">
      <c r="B6" s="12" t="s">
        <v>5</v>
      </c>
      <c r="C6" s="12"/>
      <c r="D6" s="12"/>
      <c r="E6" s="12"/>
      <c r="F6" s="12"/>
      <c r="G6" s="12"/>
      <c r="H6" s="12"/>
      <c r="I6" s="12"/>
      <c r="J6" s="12"/>
      <c r="K6" s="12"/>
    </row>
    <row r="7" spans="2:11" x14ac:dyDescent="0.3">
      <c r="B7" s="12" t="s">
        <v>33</v>
      </c>
      <c r="C7" s="12"/>
      <c r="D7" s="12"/>
      <c r="E7" s="12"/>
      <c r="F7" s="12"/>
      <c r="G7" s="12"/>
      <c r="H7" s="12"/>
      <c r="I7" s="12"/>
      <c r="J7" s="12"/>
      <c r="K7" s="12"/>
    </row>
    <row r="9" spans="2:11" x14ac:dyDescent="0.3">
      <c r="E9" s="4" t="s">
        <v>0</v>
      </c>
      <c r="F9" s="4" t="s">
        <v>1</v>
      </c>
      <c r="G9" s="4" t="s">
        <v>34</v>
      </c>
      <c r="H9" s="4" t="s">
        <v>2</v>
      </c>
      <c r="I9" s="4" t="s">
        <v>3</v>
      </c>
      <c r="J9" s="4" t="s">
        <v>4</v>
      </c>
    </row>
    <row r="10" spans="2:11" x14ac:dyDescent="0.3">
      <c r="E10">
        <v>2005</v>
      </c>
      <c r="F10" s="1">
        <v>202500</v>
      </c>
      <c r="G10" s="1">
        <v>195000</v>
      </c>
      <c r="H10" s="1">
        <f>F10-G10</f>
        <v>7500</v>
      </c>
      <c r="I10" s="1">
        <v>10000</v>
      </c>
      <c r="J10">
        <f>H10/I10</f>
        <v>0.75</v>
      </c>
    </row>
    <row r="11" spans="2:11" x14ac:dyDescent="0.3">
      <c r="E11">
        <v>2006</v>
      </c>
      <c r="F11" s="1">
        <v>401000</v>
      </c>
      <c r="G11" s="1">
        <v>385000</v>
      </c>
      <c r="H11" s="1">
        <f>F11-G11</f>
        <v>16000</v>
      </c>
      <c r="I11" s="1">
        <v>10000</v>
      </c>
      <c r="J11">
        <f>H11/I11</f>
        <v>1.6</v>
      </c>
    </row>
    <row r="12" spans="2:11" x14ac:dyDescent="0.3">
      <c r="E12">
        <v>2010</v>
      </c>
      <c r="F12" s="1">
        <v>1910000</v>
      </c>
      <c r="G12" s="1">
        <v>1760000</v>
      </c>
      <c r="H12" s="1">
        <f>F12-G12</f>
        <v>150000</v>
      </c>
      <c r="I12" s="1">
        <v>15000</v>
      </c>
      <c r="J12">
        <f>H12/I12</f>
        <v>10</v>
      </c>
    </row>
    <row r="14" spans="2:11" x14ac:dyDescent="0.3">
      <c r="F14" s="5" t="s">
        <v>9</v>
      </c>
      <c r="G14" s="5"/>
      <c r="H14" s="5">
        <f>SUM(F10:F12)</f>
        <v>2513500</v>
      </c>
    </row>
    <row r="15" spans="2:11" x14ac:dyDescent="0.3">
      <c r="F15" s="5" t="s">
        <v>10</v>
      </c>
      <c r="G15" s="5"/>
      <c r="H15" s="6">
        <f>AVERAGE(Table1[[Net Income ]])</f>
        <v>57833.333333333336</v>
      </c>
    </row>
    <row r="16" spans="2:11" x14ac:dyDescent="0.3">
      <c r="F16" s="5" t="s">
        <v>11</v>
      </c>
      <c r="G16" s="5"/>
      <c r="H16" s="5">
        <f>COUNT(Table1[[Year ]])</f>
        <v>3</v>
      </c>
    </row>
    <row r="17" spans="5:15" x14ac:dyDescent="0.3">
      <c r="F17" s="5" t="s">
        <v>17</v>
      </c>
      <c r="G17" s="5"/>
      <c r="H17" s="5">
        <f>MAX(Table1[EPS])</f>
        <v>10</v>
      </c>
    </row>
    <row r="19" spans="5:15" x14ac:dyDescent="0.3">
      <c r="E19" s="11" t="s">
        <v>12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5:15" x14ac:dyDescent="0.3">
      <c r="E20" s="11" t="s">
        <v>13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5:15" x14ac:dyDescent="0.3">
      <c r="E21" s="11" t="s">
        <v>15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5:15" x14ac:dyDescent="0.3">
      <c r="E22" s="11" t="s">
        <v>16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FB1D-FD8E-4CDC-95E2-EEB5E165D29E}">
  <dimension ref="E2:N20"/>
  <sheetViews>
    <sheetView workbookViewId="0">
      <selection activeCell="R1" sqref="R1"/>
    </sheetView>
  </sheetViews>
  <sheetFormatPr defaultRowHeight="14.4" x14ac:dyDescent="0.3"/>
  <cols>
    <col min="4" max="4" width="12.21875" customWidth="1"/>
    <col min="6" max="6" width="11.21875" customWidth="1"/>
    <col min="7" max="7" width="11.77734375" customWidth="1"/>
    <col min="8" max="8" width="11.33203125" bestFit="1" customWidth="1"/>
    <col min="9" max="9" width="12" customWidth="1"/>
  </cols>
  <sheetData>
    <row r="2" spans="5:14" x14ac:dyDescent="0.3">
      <c r="E2" s="12" t="s">
        <v>23</v>
      </c>
      <c r="F2" s="12"/>
      <c r="G2" s="12"/>
      <c r="H2" s="12"/>
      <c r="I2" s="12"/>
      <c r="J2" s="12"/>
      <c r="K2" s="13"/>
      <c r="L2" s="13"/>
      <c r="M2" s="13"/>
      <c r="N2" s="13"/>
    </row>
    <row r="3" spans="5:14" x14ac:dyDescent="0.3">
      <c r="E3" s="12"/>
      <c r="F3" s="12"/>
      <c r="G3" s="12"/>
      <c r="H3" s="12"/>
      <c r="I3" s="12"/>
      <c r="J3" s="12"/>
      <c r="K3" s="13"/>
      <c r="L3" s="13"/>
      <c r="M3" s="13"/>
      <c r="N3" s="13"/>
    </row>
    <row r="4" spans="5:14" ht="14.4" customHeight="1" x14ac:dyDescent="0.3">
      <c r="E4" s="14" t="s">
        <v>24</v>
      </c>
      <c r="F4" s="14"/>
      <c r="G4" s="14"/>
      <c r="H4" s="12"/>
      <c r="I4" s="12"/>
      <c r="J4" s="12"/>
      <c r="K4" s="13"/>
      <c r="L4" s="13"/>
      <c r="M4" s="13"/>
      <c r="N4" s="13"/>
    </row>
    <row r="5" spans="5:14" x14ac:dyDescent="0.3">
      <c r="E5" s="12" t="s">
        <v>25</v>
      </c>
      <c r="F5" s="12"/>
      <c r="G5" s="12"/>
      <c r="H5" s="12"/>
      <c r="I5" s="12"/>
      <c r="J5" s="12"/>
      <c r="K5" s="13"/>
      <c r="L5" s="13"/>
      <c r="M5" s="13"/>
      <c r="N5" s="13"/>
    </row>
    <row r="7" spans="5:14" x14ac:dyDescent="0.3">
      <c r="E7" t="s">
        <v>18</v>
      </c>
      <c r="F7" t="s">
        <v>19</v>
      </c>
      <c r="G7" t="s">
        <v>20</v>
      </c>
      <c r="H7" t="s">
        <v>21</v>
      </c>
      <c r="I7" t="s">
        <v>22</v>
      </c>
    </row>
    <row r="8" spans="5:14" x14ac:dyDescent="0.3">
      <c r="E8">
        <v>2005</v>
      </c>
      <c r="F8" s="1">
        <v>114500</v>
      </c>
      <c r="G8" s="1">
        <v>10000</v>
      </c>
      <c r="H8" s="1">
        <f>Table2[[#This Row],[Assets]]-Table2[[#This Row],[Liabilities ]]</f>
        <v>104500</v>
      </c>
      <c r="I8" s="7">
        <f>G8/F8</f>
        <v>8.7336244541484712E-2</v>
      </c>
    </row>
    <row r="9" spans="5:14" x14ac:dyDescent="0.3">
      <c r="E9">
        <v>2006</v>
      </c>
      <c r="F9" s="1">
        <v>255500</v>
      </c>
      <c r="G9" s="1">
        <v>141000</v>
      </c>
      <c r="H9" s="1">
        <f>Table2[[#This Row],[Assets]]-Table2[[#This Row],[Liabilities ]]</f>
        <v>114500</v>
      </c>
      <c r="I9" s="7">
        <f>G9/F9</f>
        <v>0.55185909980430525</v>
      </c>
    </row>
    <row r="10" spans="5:14" x14ac:dyDescent="0.3">
      <c r="E10">
        <v>2010</v>
      </c>
      <c r="F10" s="1">
        <v>994500</v>
      </c>
      <c r="G10" s="1">
        <v>100000</v>
      </c>
      <c r="H10" s="1">
        <f>Table2[[#This Row],[Assets]]-Table2[[#This Row],[Liabilities ]]</f>
        <v>894500</v>
      </c>
      <c r="I10" s="7">
        <f>G10/F10</f>
        <v>0.10055304172951232</v>
      </c>
    </row>
    <row r="12" spans="5:14" x14ac:dyDescent="0.3">
      <c r="E12" s="2" t="s">
        <v>26</v>
      </c>
      <c r="F12" s="2"/>
      <c r="G12" s="3">
        <f>SUM(F8:F10)</f>
        <v>1364500</v>
      </c>
    </row>
    <row r="13" spans="5:14" x14ac:dyDescent="0.3">
      <c r="E13" s="2" t="s">
        <v>27</v>
      </c>
      <c r="F13" s="2"/>
      <c r="G13" s="3">
        <f>AVERAGE(Table2[[Liabilities ]])</f>
        <v>83666.666666666672</v>
      </c>
    </row>
    <row r="14" spans="5:14" x14ac:dyDescent="0.3">
      <c r="E14" s="2" t="s">
        <v>11</v>
      </c>
      <c r="F14" s="2"/>
      <c r="G14" s="2">
        <f>COUNT(Table2[Year])</f>
        <v>3</v>
      </c>
    </row>
    <row r="15" spans="5:14" x14ac:dyDescent="0.3">
      <c r="E15" s="2" t="s">
        <v>28</v>
      </c>
      <c r="F15" s="2"/>
      <c r="G15" s="8">
        <f>MIN(Table2[[Debt Ratio ]])</f>
        <v>8.7336244541484712E-2</v>
      </c>
    </row>
    <row r="17" spans="5:13" x14ac:dyDescent="0.3">
      <c r="E17" s="9" t="s">
        <v>29</v>
      </c>
      <c r="F17" s="9"/>
      <c r="G17" s="9"/>
      <c r="H17" s="9"/>
      <c r="I17" s="9"/>
      <c r="J17" s="9"/>
      <c r="K17" s="9"/>
      <c r="L17" s="10"/>
      <c r="M17" s="10"/>
    </row>
    <row r="18" spans="5:13" x14ac:dyDescent="0.3">
      <c r="E18" s="9" t="s">
        <v>30</v>
      </c>
      <c r="F18" s="9"/>
      <c r="G18" s="9"/>
      <c r="H18" s="9"/>
      <c r="I18" s="9"/>
      <c r="J18" s="9"/>
      <c r="K18" s="9">
        <f>F8-F10</f>
        <v>-880000</v>
      </c>
      <c r="L18" s="10"/>
      <c r="M18" s="10"/>
    </row>
    <row r="19" spans="5:13" x14ac:dyDescent="0.3">
      <c r="E19" s="9" t="s">
        <v>31</v>
      </c>
      <c r="F19" s="9"/>
      <c r="G19" s="9"/>
      <c r="H19" s="9"/>
      <c r="I19" s="9"/>
      <c r="J19" s="9"/>
      <c r="K19" s="9">
        <f>G9-G10</f>
        <v>41000</v>
      </c>
      <c r="L19" s="10"/>
      <c r="M19" s="10"/>
    </row>
    <row r="20" spans="5:13" x14ac:dyDescent="0.3">
      <c r="E20" s="9" t="s">
        <v>32</v>
      </c>
      <c r="F20" s="9"/>
      <c r="G20" s="9"/>
      <c r="H20" s="9"/>
      <c r="I20" s="9"/>
      <c r="J20" s="9"/>
      <c r="K20" s="9"/>
      <c r="L20" s="10"/>
      <c r="M20" s="10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CC47-363C-49BD-AEED-6C0C04C59D87}">
  <dimension ref="C2:L22"/>
  <sheetViews>
    <sheetView workbookViewId="0">
      <selection activeCell="I11" sqref="I11"/>
    </sheetView>
  </sheetViews>
  <sheetFormatPr defaultRowHeight="14.4" x14ac:dyDescent="0.3"/>
  <cols>
    <col min="6" max="6" width="19.88671875" customWidth="1"/>
    <col min="7" max="7" width="13.33203125" customWidth="1"/>
    <col min="8" max="8" width="25" customWidth="1"/>
    <col min="9" max="10" width="10.109375" customWidth="1"/>
  </cols>
  <sheetData>
    <row r="2" spans="3:9" x14ac:dyDescent="0.3">
      <c r="C2" s="12" t="s">
        <v>38</v>
      </c>
      <c r="D2" s="12"/>
      <c r="E2" s="12"/>
      <c r="F2" s="12"/>
      <c r="G2" s="12"/>
      <c r="H2" s="12"/>
      <c r="I2" s="12"/>
    </row>
    <row r="3" spans="3:9" x14ac:dyDescent="0.3">
      <c r="C3" s="12" t="s">
        <v>39</v>
      </c>
      <c r="D3" s="12"/>
      <c r="E3" s="12"/>
      <c r="F3" s="12"/>
      <c r="G3" s="12"/>
      <c r="H3" s="12"/>
      <c r="I3" s="12"/>
    </row>
    <row r="4" spans="3:9" x14ac:dyDescent="0.3">
      <c r="C4" s="12" t="s">
        <v>40</v>
      </c>
      <c r="D4" s="12"/>
      <c r="E4" s="12"/>
      <c r="F4" s="12"/>
      <c r="G4" s="12"/>
      <c r="H4" s="12"/>
      <c r="I4" s="12"/>
    </row>
    <row r="6" spans="3:9" x14ac:dyDescent="0.3">
      <c r="E6" t="s">
        <v>18</v>
      </c>
      <c r="F6" t="s">
        <v>35</v>
      </c>
      <c r="G6" t="s">
        <v>36</v>
      </c>
      <c r="H6" t="s">
        <v>37</v>
      </c>
    </row>
    <row r="7" spans="3:9" x14ac:dyDescent="0.3">
      <c r="E7">
        <v>2005</v>
      </c>
      <c r="F7" s="1">
        <v>7500</v>
      </c>
      <c r="G7" s="1">
        <v>10000</v>
      </c>
      <c r="H7" s="1">
        <f>Table5[[#This Row],[Net Income]]+Table5[[#This Row],[Depreciation]]</f>
        <v>17500</v>
      </c>
    </row>
    <row r="8" spans="3:9" x14ac:dyDescent="0.3">
      <c r="E8">
        <v>2006</v>
      </c>
      <c r="F8" s="1">
        <v>16000</v>
      </c>
      <c r="G8" s="1">
        <v>24000</v>
      </c>
      <c r="H8" s="1">
        <f>Table5[[#This Row],[Net Income]]+Table5[[#This Row],[Depreciation]]</f>
        <v>40000</v>
      </c>
    </row>
    <row r="9" spans="3:9" x14ac:dyDescent="0.3">
      <c r="E9">
        <v>2010</v>
      </c>
      <c r="F9" s="1">
        <v>150000</v>
      </c>
      <c r="G9" s="1">
        <v>102000</v>
      </c>
      <c r="H9" s="1">
        <f>Table5[[#This Row],[Net Income]]+Table5[[#This Row],[Depreciation]]</f>
        <v>252000</v>
      </c>
    </row>
    <row r="11" spans="3:9" x14ac:dyDescent="0.3">
      <c r="E11" s="15" t="s">
        <v>41</v>
      </c>
      <c r="F11" s="15"/>
      <c r="G11" s="16">
        <f>SUM(Table5[[Cash flow from operations ]])</f>
        <v>309500</v>
      </c>
    </row>
    <row r="12" spans="3:9" x14ac:dyDescent="0.3">
      <c r="E12" s="15" t="s">
        <v>42</v>
      </c>
      <c r="F12" s="15"/>
      <c r="G12" s="16">
        <f>AVERAGE(Table5[Net Income])</f>
        <v>57833.333333333336</v>
      </c>
    </row>
    <row r="13" spans="3:9" x14ac:dyDescent="0.3">
      <c r="E13" s="19" t="s">
        <v>43</v>
      </c>
      <c r="F13" s="17"/>
      <c r="G13" s="18">
        <f>MAX(Table5[[Cash flow from operations ]])</f>
        <v>252000</v>
      </c>
    </row>
    <row r="18" spans="3:12" x14ac:dyDescent="0.3">
      <c r="C18" s="20" t="s">
        <v>29</v>
      </c>
      <c r="D18" s="20"/>
      <c r="E18" s="20"/>
      <c r="F18" s="20"/>
      <c r="G18" s="20"/>
      <c r="H18" s="20"/>
      <c r="I18" s="20"/>
      <c r="J18" s="20"/>
      <c r="K18" s="20"/>
      <c r="L18" s="20"/>
    </row>
    <row r="19" spans="3:12" x14ac:dyDescent="0.3">
      <c r="C19" s="20" t="s">
        <v>44</v>
      </c>
      <c r="D19" s="20"/>
      <c r="E19" s="20"/>
      <c r="F19" s="20"/>
      <c r="G19" s="20"/>
      <c r="H19" s="20"/>
      <c r="I19" s="20"/>
      <c r="J19" s="20"/>
      <c r="K19" s="20"/>
      <c r="L19" s="20"/>
    </row>
    <row r="20" spans="3:12" x14ac:dyDescent="0.3">
      <c r="C20" s="20" t="s">
        <v>45</v>
      </c>
      <c r="D20" s="20"/>
      <c r="E20" s="20"/>
      <c r="F20" s="20"/>
      <c r="G20" s="20"/>
      <c r="H20" s="20"/>
      <c r="I20" s="20"/>
      <c r="J20" s="20"/>
      <c r="K20" s="20"/>
      <c r="L20" s="20"/>
    </row>
    <row r="21" spans="3:12" x14ac:dyDescent="0.3"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3:12" x14ac:dyDescent="0.3">
      <c r="C22" s="20" t="s">
        <v>46</v>
      </c>
      <c r="D22" s="20"/>
      <c r="E22" s="20"/>
      <c r="F22" s="20"/>
      <c r="G22" s="20"/>
      <c r="H22" s="20"/>
      <c r="I22" s="20"/>
      <c r="J22" s="20"/>
      <c r="K22" s="20"/>
      <c r="L22" s="20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Analysis </vt:lpstr>
      <vt:lpstr>Balance sheet Analysis</vt:lpstr>
      <vt:lpstr>Cash flow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Khashu</dc:creator>
  <cp:lastModifiedBy>Ajay Khashu</cp:lastModifiedBy>
  <dcterms:created xsi:type="dcterms:W3CDTF">2026-04-16T16:52:18Z</dcterms:created>
  <dcterms:modified xsi:type="dcterms:W3CDTF">2026-04-16T20:19:38Z</dcterms:modified>
</cp:coreProperties>
</file>